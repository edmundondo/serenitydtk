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Status Updates" sheetId="5" state="visible" r:id="rId5"/>
    <sheet xmlns:r="http://schemas.openxmlformats.org/officeDocument/2006/relationships" name="Contacts" sheetId="6" state="visible" r:id="rId6"/>
    <sheet xmlns:r="http://schemas.openxmlformats.org/officeDocument/2006/relationships" name="Reviewer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28C7E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9" fontId="0" fillId="0" borderId="1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WhatsApp Groups Dashboard — Summary</t>
        </is>
      </c>
    </row>
    <row r="29">
      <c r="A29" s="2" t="inlineStr">
        <is>
          <t>Metric</t>
        </is>
      </c>
      <c r="B29" s="2" t="inlineStr">
        <is>
          <t>Value</t>
        </is>
      </c>
    </row>
    <row r="30">
      <c r="A30" s="3" t="inlineStr">
        <is>
          <t>Total groups</t>
        </is>
      </c>
      <c r="B30" s="3">
        <f>COUNTA(Groups!A6:A25)</f>
        <v/>
      </c>
    </row>
    <row r="31">
      <c r="A31" s="3" t="inlineStr">
        <is>
          <t>Total tasks</t>
        </is>
      </c>
      <c r="B31" s="3">
        <f>COUNTA(Tasks!A6:A59)</f>
        <v/>
      </c>
    </row>
    <row r="32">
      <c r="A32" s="3" t="inlineStr">
        <is>
          <t>Tasks done</t>
        </is>
      </c>
      <c r="B32" s="3">
        <f>COUNTIF(Tasks!D6:D59,"Done")</f>
        <v/>
      </c>
    </row>
    <row r="33">
      <c r="A33" s="3" t="inlineStr">
        <is>
          <t>Tasks in progress</t>
        </is>
      </c>
      <c r="B33" s="3">
        <f>COUNTIF(Tasks!D6:D59,"In Progress")</f>
        <v/>
      </c>
    </row>
    <row r="34">
      <c r="A34" s="3" t="inlineStr">
        <is>
          <t>Tasks not started</t>
        </is>
      </c>
      <c r="B34" s="3">
        <f>COUNTIF(Tasks!D6:D59,"Not Started")</f>
        <v/>
      </c>
    </row>
    <row r="35">
      <c r="A35" s="3" t="inlineStr">
        <is>
          <t>High priority groups</t>
        </is>
      </c>
      <c r="B35" s="3">
        <f>COUNTIF(Groups!D6:D25,"high")</f>
        <v/>
      </c>
    </row>
    <row r="36">
      <c r="A36" s="3" t="inlineStr">
        <is>
          <t>Medium priority groups</t>
        </is>
      </c>
      <c r="B36" s="3">
        <f>COUNTIF(Groups!D6:D25,"medium")</f>
        <v/>
      </c>
    </row>
    <row r="37">
      <c r="A37" s="3" t="inlineStr">
        <is>
          <t>Low priority groups</t>
        </is>
      </c>
      <c r="B37" s="3">
        <f>COUNTIF(Groups!D6:D25,"low")</f>
        <v/>
      </c>
    </row>
    <row r="38">
      <c r="A38" s="3" t="inlineStr">
        <is>
          <t>Groups flagged caution</t>
        </is>
      </c>
      <c r="B38" s="3">
        <f>COUNTIF(Groups!E6:E25,"Yes")</f>
        <v/>
      </c>
    </row>
    <row r="39">
      <c r="A39" s="3" t="inlineStr">
        <is>
          <t>% tasks done</t>
        </is>
      </c>
      <c r="B39" s="4">
        <f>IFERROR(B32/B31,0)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WhatsApp Groups Dashboard — WAGPM</t>
        </is>
      </c>
    </row>
    <row r="2">
      <c r="A2" t="inlineStr"/>
    </row>
    <row r="3">
      <c r="A3" t="inlineStr">
        <is>
          <t>Purpose: track WhatsApp business/deal groups Ed is part of as individual</t>
        </is>
      </c>
    </row>
    <row r="4">
      <c r="A4" t="inlineStr">
        <is>
          <t>projects — one dashboard per group, each with its own tasks, contacts,</t>
        </is>
      </c>
    </row>
    <row r="5">
      <c r="A5" t="inlineStr">
        <is>
          <t>and status updates.</t>
        </is>
      </c>
    </row>
    <row r="6">
      <c r="A6" t="inlineStr"/>
    </row>
    <row r="7">
      <c r="A7" t="inlineStr">
        <is>
          <t>Tabs:</t>
        </is>
      </c>
    </row>
    <row r="8">
      <c r="A8" t="inlineStr">
        <is>
          <t xml:space="preserve">  Groups          — one row per tracked WhatsApp group</t>
        </is>
      </c>
    </row>
    <row r="9">
      <c r="A9" t="inlineStr">
        <is>
          <t xml:space="preserve">  Tasks           — one row per action item, linked to a group by name</t>
        </is>
      </c>
    </row>
    <row r="10">
      <c r="A10" t="inlineStr">
        <is>
          <t xml:space="preserve">  Status Updates  — dated narrative updates per group</t>
        </is>
      </c>
    </row>
    <row r="11">
      <c r="A11" t="inlineStr">
        <is>
          <t xml:space="preserve">  Contacts        — people involved, by group</t>
        </is>
      </c>
    </row>
    <row r="12">
      <c r="A12" t="inlineStr">
        <is>
          <t xml:space="preserve">  Reviewer Notes  — annotations/flags added on review</t>
        </is>
      </c>
    </row>
    <row r="13">
      <c r="A13" t="inlineStr">
        <is>
          <t xml:space="preserve">  Dashboard       — auto-computed totals (formulas only, no manual entry)</t>
        </is>
      </c>
    </row>
    <row r="14">
      <c r="A14" t="inlineStr"/>
    </row>
    <row r="15">
      <c r="A15" t="inlineStr">
        <is>
          <t>Row 5 on each data tab is a kept example row (outside the counted ranges —</t>
        </is>
      </c>
    </row>
    <row r="16">
      <c r="A16" t="inlineStr">
        <is>
          <t>delete only if you're sure). Real data starts at row 6.</t>
        </is>
      </c>
    </row>
    <row r="17">
      <c r="A17" t="inlineStr">
        <is>
          <t xml:space="preserve">  Groups:  rows 6–25 (20 groups)</t>
        </is>
      </c>
    </row>
    <row r="18">
      <c r="A18" t="inlineStr">
        <is>
          <t xml:space="preserve">  Tasks:   rows 6–59 (54 tasks)</t>
        </is>
      </c>
    </row>
    <row r="19">
      <c r="A19" t="inlineStr"/>
    </row>
    <row r="20">
      <c r="A20" t="inlineStr">
        <is>
          <t>Companion files: index.html (interactive dashboard), Group_Summaries.md</t>
        </is>
      </c>
    </row>
    <row r="21">
      <c r="A21" t="inlineStr">
        <is>
          <t>(narrative summary). Keep all three in sync when data changes.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F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60" customWidth="1" min="3" max="3"/>
    <col width="12" customWidth="1" min="4" max="4"/>
    <col width="10" customWidth="1" min="5" max="5"/>
    <col width="40" customWidth="1" min="6" max="6"/>
  </cols>
  <sheetData>
    <row r="4">
      <c r="A4" s="2" t="inlineStr">
        <is>
          <t>Group Name</t>
        </is>
      </c>
      <c r="B4" s="2" t="inlineStr">
        <is>
          <t>Aliases</t>
        </is>
      </c>
      <c r="C4" s="2" t="inlineStr">
        <is>
          <t>Purpose</t>
        </is>
      </c>
      <c r="D4" s="2" t="inlineStr">
        <is>
          <t>Priority</t>
        </is>
      </c>
      <c r="E4" s="2" t="inlineStr">
        <is>
          <t>Caution?</t>
        </is>
      </c>
      <c r="F4" s="2" t="inlineStr">
        <is>
          <t>WhatsApp Link</t>
        </is>
      </c>
    </row>
    <row r="5">
      <c r="A5" s="5" t="inlineStr">
        <is>
          <t>Example Group 🌍</t>
        </is>
      </c>
      <c r="B5" s="5" t="inlineStr">
        <is>
          <t>Example</t>
        </is>
      </c>
      <c r="C5" s="5" t="inlineStr">
        <is>
          <t>One dense sentence on what's being negotiated.</t>
        </is>
      </c>
      <c r="D5" s="5" t="inlineStr">
        <is>
          <t>medium</t>
        </is>
      </c>
      <c r="E5" s="5" t="inlineStr">
        <is>
          <t>No</t>
        </is>
      </c>
      <c r="F5" s="5" t="inlineStr">
        <is>
          <t>https://chat.whatsapp.com/EXAMPLE</t>
        </is>
      </c>
    </row>
    <row r="6">
      <c r="A6" s="6" t="inlineStr">
        <is>
          <t>🇿🇦Serenity🇿🇦</t>
        </is>
      </c>
      <c r="B6" s="6" t="inlineStr">
        <is>
          <t>Serenity</t>
        </is>
      </c>
      <c r="C6" s="6" t="inlineStr">
        <is>
          <t>Distribution deal for VivaChek drug/screening test kits into South Africa — sourcing via Frank, local commercialization via Nicole (trading as MedSerenity). Critical path is SAHPRA product licensing; a Cape Town office visit was arranged 9/9 after slow vendor response.</t>
        </is>
      </c>
      <c r="D6" s="6" t="inlineStr">
        <is>
          <t>high</t>
        </is>
      </c>
      <c r="E6" s="6" t="inlineStr">
        <is>
          <t>No</t>
        </is>
      </c>
      <c r="F6" s="6" t="inlineStr">
        <is>
          <t>https://chat.whatsapp.com/LJWJ0UhQQxU6jmBt1q7PXX?mode=gi_t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E14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26" customWidth="1" min="3" max="3"/>
    <col width="14" customWidth="1" min="4" max="4"/>
    <col width="50" customWidth="1" min="5" max="5"/>
  </cols>
  <sheetData>
    <row r="4">
      <c r="A4" s="2" t="inlineStr">
        <is>
          <t>Group Name</t>
        </is>
      </c>
      <c r="B4" s="2" t="inlineStr">
        <is>
          <t>Task</t>
        </is>
      </c>
      <c r="C4" s="2" t="inlineStr">
        <is>
          <t>Owner</t>
        </is>
      </c>
      <c r="D4" s="2" t="inlineStr">
        <is>
          <t>Status</t>
        </is>
      </c>
      <c r="E4" s="2" t="inlineStr">
        <is>
          <t>Notes</t>
        </is>
      </c>
    </row>
    <row r="5">
      <c r="A5" s="5" t="inlineStr">
        <is>
          <t>Example Group 🌍</t>
        </is>
      </c>
      <c r="B5" s="5" t="inlineStr">
        <is>
          <t>Example task description</t>
        </is>
      </c>
      <c r="C5" s="5" t="inlineStr">
        <is>
          <t>Example Owner</t>
        </is>
      </c>
      <c r="D5" s="5" t="inlineStr">
        <is>
          <t>In Progress</t>
        </is>
      </c>
      <c r="E5" s="5" t="inlineStr">
        <is>
          <t>Example note with date.</t>
        </is>
      </c>
    </row>
    <row r="6">
      <c r="A6" s="6" t="inlineStr">
        <is>
          <t>🇿🇦Serenity🇿🇦</t>
        </is>
      </c>
      <c r="B6" s="6" t="inlineStr">
        <is>
          <t>Research SADC certificate-of-origin route</t>
        </is>
      </c>
      <c r="C6" s="6" t="inlineStr">
        <is>
          <t>Dr. Kudzai Nyamuomba</t>
        </is>
      </c>
      <c r="D6" s="6" t="inlineStr">
        <is>
          <t>Done</t>
        </is>
      </c>
      <c r="E6" s="6" t="inlineStr">
        <is>
          <t>Raised 8/22; superseded once SAHPRA licensing confirmed required (8/27)</t>
        </is>
      </c>
    </row>
    <row r="7">
      <c r="A7" s="6" t="inlineStr">
        <is>
          <t>🇿🇦Serenity🇿🇦</t>
        </is>
      </c>
      <c r="B7" s="6" t="inlineStr">
        <is>
          <t>Confirm which regulatory path is required to distribute in SA</t>
        </is>
      </c>
      <c r="C7" s="6" t="inlineStr">
        <is>
          <t>Nicole Chitareni</t>
        </is>
      </c>
      <c r="D7" s="6" t="inlineStr">
        <is>
          <t>Done</t>
        </is>
      </c>
      <c r="E7" s="6" t="inlineStr">
        <is>
          <t>Ministry contact confirmed 8/27: SAHPRA certificate/license still required</t>
        </is>
      </c>
    </row>
    <row r="8">
      <c r="A8" s="6" t="inlineStr">
        <is>
          <t>🇿🇦Serenity🇿🇦</t>
        </is>
      </c>
      <c r="B8" s="6" t="inlineStr">
        <is>
          <t>Arrange courier of 5 test kits to Nicole</t>
        </is>
      </c>
      <c r="C8" s="6" t="inlineStr">
        <is>
          <t>Dr. Kudzai Nyamuomba / Frank</t>
        </is>
      </c>
      <c r="D8" s="6" t="inlineStr">
        <is>
          <t>In Progress</t>
        </is>
      </c>
      <c r="E8" s="6" t="inlineStr">
        <is>
          <t>Set for 8/26 via The Courier Guy; postponed a week after Nicole's flu hospitalization (8/25)</t>
        </is>
      </c>
    </row>
    <row r="9">
      <c r="A9" s="6" t="inlineStr">
        <is>
          <t>🇿🇦Serenity🇿🇦</t>
        </is>
      </c>
      <c r="B9" s="6" t="inlineStr">
        <is>
          <t>Decide which company entity to register/trade under</t>
        </is>
      </c>
      <c r="C9" s="6" t="inlineStr">
        <is>
          <t>Nicole Chitareni / Dr. Kudzai Nyamuomba</t>
        </is>
      </c>
      <c r="D9" s="6" t="inlineStr">
        <is>
          <t>Done</t>
        </is>
      </c>
      <c r="E9" s="6" t="inlineStr">
        <is>
          <t>8/27: use Nicole's existing CSD-registered company (trading as MedSerenity)</t>
        </is>
      </c>
    </row>
    <row r="10">
      <c r="A10" s="6" t="inlineStr">
        <is>
          <t>🇿🇦Serenity🇿🇦</t>
        </is>
      </c>
      <c r="B10" s="6" t="inlineStr">
        <is>
          <t>Get SAHPRA compliance quotes</t>
        </is>
      </c>
      <c r="C10" s="6" t="inlineStr">
        <is>
          <t>Nicole Chitareni</t>
        </is>
      </c>
      <c r="D10" s="6" t="inlineStr">
        <is>
          <t>Done</t>
        </is>
      </c>
      <c r="E10" s="6" t="inlineStr">
        <is>
          <t>Two companies quoted 8/27; Pharmers: R55,000 total, R15,600 application-only, ~15 working days</t>
        </is>
      </c>
    </row>
    <row r="11">
      <c r="A11" s="6" t="inlineStr">
        <is>
          <t>🇿🇦Serenity🇿🇦</t>
        </is>
      </c>
      <c r="B11" s="6" t="inlineStr">
        <is>
          <t>Get full cost breakdown reflecting existing ISO 13485/MDSAP certs</t>
        </is>
      </c>
      <c r="C11" s="6" t="inlineStr">
        <is>
          <t>Nicole Chitareni</t>
        </is>
      </c>
      <c r="D11" s="6" t="inlineStr">
        <is>
          <t>In Progress</t>
        </is>
      </c>
      <c r="E11" s="6" t="inlineStr">
        <is>
          <t>Requested 8/27, followed up 8/31, no response yet as of that date</t>
        </is>
      </c>
    </row>
    <row r="12">
      <c r="A12" s="6" t="inlineStr">
        <is>
          <t>🇿🇦Serenity🇿🇦</t>
        </is>
      </c>
      <c r="B12" s="6" t="inlineStr">
        <is>
          <t>Follow up with Pharmers after slow response</t>
        </is>
      </c>
      <c r="C12" s="6" t="inlineStr">
        <is>
          <t>Nicole Chitareni</t>
        </is>
      </c>
      <c r="D12" s="6" t="inlineStr">
        <is>
          <t>Done</t>
        </is>
      </c>
      <c r="E12" s="6" t="inlineStr">
        <is>
          <t>Follow-up sent 8/31; vendor responded, meeting held 9/8 14:00 CAT</t>
        </is>
      </c>
    </row>
    <row r="13">
      <c r="A13" s="6" t="inlineStr">
        <is>
          <t>🇿🇦Serenity🇿🇦</t>
        </is>
      </c>
      <c r="B13" s="6" t="inlineStr">
        <is>
          <t>Scope engagement down to application only</t>
        </is>
      </c>
      <c r="C13" s="6" t="inlineStr">
        <is>
          <t>Dr. Kudzai Nyamuomba</t>
        </is>
      </c>
      <c r="D13" s="6" t="inlineStr">
        <is>
          <t>Done</t>
        </is>
      </c>
      <c r="E13" s="6" t="inlineStr">
        <is>
          <t>9/8: skip consultation and collection-fee add-ons</t>
        </is>
      </c>
    </row>
    <row r="14">
      <c r="A14" s="6" t="inlineStr">
        <is>
          <t>🇿🇦Serenity🇿🇦</t>
        </is>
      </c>
      <c r="B14" s="6" t="inlineStr">
        <is>
          <t>Visit SAHPRA Radiation Control office in person</t>
        </is>
      </c>
      <c r="C14" s="6" t="inlineStr">
        <is>
          <t>~ Norman Nyamuwomba</t>
        </is>
      </c>
      <c r="D14" s="6" t="inlineStr">
        <is>
          <t>In Progress</t>
        </is>
      </c>
      <c r="E14" s="6" t="inlineStr">
        <is>
          <t>Requested 9/9 after phone/email went unanswered; Norman confirmed he'd visit Tygervalley office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C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70" customWidth="1" min="3" max="3"/>
  </cols>
  <sheetData>
    <row r="4">
      <c r="A4" s="2" t="inlineStr">
        <is>
          <t>Group Name</t>
        </is>
      </c>
      <c r="B4" s="2" t="inlineStr">
        <is>
          <t>Date</t>
        </is>
      </c>
      <c r="C4" s="2" t="inlineStr">
        <is>
          <t>Update</t>
        </is>
      </c>
    </row>
    <row r="5">
      <c r="A5" s="5" t="inlineStr">
        <is>
          <t>Example Group 🌍</t>
        </is>
      </c>
      <c r="B5" s="5" t="inlineStr">
        <is>
          <t>1/1/26</t>
        </is>
      </c>
      <c r="C5" s="5" t="inlineStr">
        <is>
          <t>Example status update text.</t>
        </is>
      </c>
    </row>
    <row r="6">
      <c r="A6" s="6" t="inlineStr">
        <is>
          <t>🇿🇦Serenity🇿🇦</t>
        </is>
      </c>
      <c r="B6" s="6" t="inlineStr">
        <is>
          <t>8/27/26</t>
        </is>
      </c>
      <c r="C6" s="6" t="inlineStr">
        <is>
          <t>Ministry confirmed SAHPRA license still required despite SADC certificate; two compliance vendor quotes received same day (Pharmers: R55,000 / R15,600 application-only).</t>
        </is>
      </c>
    </row>
    <row r="7">
      <c r="A7" s="6" t="inlineStr">
        <is>
          <t>🇿🇦Serenity🇿🇦</t>
        </is>
      </c>
      <c r="B7" s="6" t="inlineStr">
        <is>
          <t>9/8/26</t>
        </is>
      </c>
      <c r="C7" s="6" t="inlineStr">
        <is>
          <t>Pharmers finally responded after a week of silence; meeting held 14:00 CAT. Team scoped the engagement to application-only.</t>
        </is>
      </c>
    </row>
    <row r="8">
      <c r="A8" s="6" t="inlineStr">
        <is>
          <t>🇿🇦Serenity🇿🇦</t>
        </is>
      </c>
      <c r="B8" s="6" t="inlineStr">
        <is>
          <t>9/9/26</t>
        </is>
      </c>
      <c r="C8" s="6" t="inlineStr">
        <is>
          <t>Norman Nyamuwomba (newly added) tasked with an in-person visit to SAHPRA's Cape Town Radiation Control office to get direct answers on process, documentation, and timelines.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D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50" customWidth="1" min="4" max="4"/>
  </cols>
  <sheetData>
    <row r="4">
      <c r="A4" s="2" t="inlineStr">
        <is>
          <t>Group Name</t>
        </is>
      </c>
      <c r="B4" s="2" t="inlineStr">
        <is>
          <t>Name</t>
        </is>
      </c>
      <c r="C4" s="2" t="inlineStr">
        <is>
          <t>Role</t>
        </is>
      </c>
      <c r="D4" s="2" t="inlineStr">
        <is>
          <t>Notes</t>
        </is>
      </c>
    </row>
    <row r="5">
      <c r="A5" s="5" t="inlineStr">
        <is>
          <t>Example Group 🌍</t>
        </is>
      </c>
      <c r="B5" s="5" t="inlineStr">
        <is>
          <t>Example Name</t>
        </is>
      </c>
      <c r="C5" s="5" t="inlineStr">
        <is>
          <t>Example Role</t>
        </is>
      </c>
      <c r="D5" s="5" t="inlineStr">
        <is>
          <t>Example note.</t>
        </is>
      </c>
    </row>
    <row r="6">
      <c r="A6" s="6" t="inlineStr">
        <is>
          <t>🇿🇦Serenity🇿🇦</t>
        </is>
      </c>
      <c r="B6" s="6" t="inlineStr">
        <is>
          <t>Dr. Kudzai Nyamuomba</t>
        </is>
      </c>
      <c r="C6" s="6" t="inlineStr">
        <is>
          <t>Group organizer / kit sourcing</t>
        </is>
      </c>
      <c r="D6" s="6" t="inlineStr">
        <is>
          <t>Coordinates with supplier Frank</t>
        </is>
      </c>
    </row>
    <row r="7">
      <c r="A7" s="6" t="inlineStr">
        <is>
          <t>🇿🇦Serenity🇿🇦</t>
        </is>
      </c>
      <c r="B7" s="6" t="inlineStr">
        <is>
          <t>Nicole Chitareni</t>
        </is>
      </c>
      <c r="C7" s="6" t="inlineStr">
        <is>
          <t>SA local point of contact</t>
        </is>
      </c>
      <c r="D7" s="6" t="inlineStr">
        <is>
          <t>Based in Louis Trichardt; handles local compliance/logistics; trades as MedSerenity</t>
        </is>
      </c>
    </row>
    <row r="8">
      <c r="A8" s="6" t="inlineStr">
        <is>
          <t>🇿🇦Serenity🇿🇦</t>
        </is>
      </c>
      <c r="B8" s="6" t="inlineStr">
        <is>
          <t>~ Norman Nyamuwomba</t>
        </is>
      </c>
      <c r="C8" s="6" t="inlineStr">
        <is>
          <t>In-person SAHPRA follow-up</t>
        </is>
      </c>
      <c r="D8" s="6" t="inlineStr">
        <is>
          <t>Added 9/8; visiting Cape Town Radiation Control office</t>
        </is>
      </c>
    </row>
    <row r="9">
      <c r="A9" s="6" t="inlineStr">
        <is>
          <t>🇿🇦Serenity🇿🇦</t>
        </is>
      </c>
      <c r="B9" s="6" t="inlineStr">
        <is>
          <t>Eddie Ed</t>
        </is>
      </c>
      <c r="C9" s="6" t="inlineStr">
        <is>
          <t>Group creator</t>
        </is>
      </c>
      <c r="D9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60" customWidth="1" min="4" max="4"/>
  </cols>
  <sheetData>
    <row r="4">
      <c r="A4" s="2" t="inlineStr">
        <is>
          <t>Group Name</t>
        </is>
      </c>
      <c r="B4" s="2" t="inlineStr">
        <is>
          <t>Reviewer</t>
        </is>
      </c>
      <c r="C4" s="2" t="inlineStr">
        <is>
          <t>Date</t>
        </is>
      </c>
      <c r="D4" s="2" t="inlineStr">
        <is>
          <t>Note</t>
        </is>
      </c>
    </row>
    <row r="5">
      <c r="A5" s="5" t="inlineStr">
        <is>
          <t>Example Group 🌍</t>
        </is>
      </c>
      <c r="B5" s="5" t="inlineStr">
        <is>
          <t>Example Reviewer</t>
        </is>
      </c>
      <c r="C5" s="5" t="inlineStr">
        <is>
          <t>1/1/26</t>
        </is>
      </c>
      <c r="D5" s="5" t="inlineStr">
        <is>
          <t>Example reviewer 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2026-09-14T01:37:17Z</dcterms:created>
  <dcterms:modified xmlns:dcterms="http://purl.org/dc/terms/" xmlns:xsi="http://www.w3.org/2001/XMLSchema-instance" xsi:type="dcterms:W3CDTF">2026-09-14T01:37:17Z</dcterms:modified>
</cp:coreProperties>
</file>
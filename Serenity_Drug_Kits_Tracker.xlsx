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Groups" sheetId="2" state="visible" r:id="rId2"/>
    <sheet xmlns:r="http://schemas.openxmlformats.org/officeDocument/2006/relationships" name="Tasks" sheetId="3" state="visible" r:id="rId3"/>
    <sheet xmlns:r="http://schemas.openxmlformats.org/officeDocument/2006/relationships" name="Status Updates" sheetId="4" state="visible" r:id="rId4"/>
    <sheet xmlns:r="http://schemas.openxmlformats.org/officeDocument/2006/relationships" name="Contacts" sheetId="5" state="visible" r:id="rId5"/>
    <sheet xmlns:r="http://schemas.openxmlformats.org/officeDocument/2006/relationships" name="Reviewer Notes" sheetId="6" state="visible" r:id="rId6"/>
    <sheet xmlns:r="http://schemas.openxmlformats.org/officeDocument/2006/relationships" name="Dashboa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i val="1"/>
      <color rgb="00888888"/>
    </font>
  </fonts>
  <fills count="4">
    <fill>
      <patternFill/>
    </fill>
    <fill>
      <patternFill patternType="gray125"/>
    </fill>
    <fill>
      <patternFill patternType="solid">
        <fgColor rgb="00128C7E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3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Serenity Drug Kits Tracker — WAGPM</t>
        </is>
      </c>
    </row>
    <row r="2">
      <c r="A2" t="inlineStr"/>
    </row>
    <row r="3">
      <c r="A3" t="inlineStr">
        <is>
          <t>Purpose: track WhatsApp business/deal groups Ed is part of as individual</t>
        </is>
      </c>
    </row>
    <row r="4">
      <c r="A4" t="inlineStr">
        <is>
          <t>projects — one dashboard per group, each with its own tasks, contacts,</t>
        </is>
      </c>
    </row>
    <row r="5">
      <c r="A5" t="inlineStr">
        <is>
          <t>and status updates. Started with the Serenity (South Africa) drug/</t>
        </is>
      </c>
    </row>
    <row r="6">
      <c r="A6" t="inlineStr">
        <is>
          <t>screening test kit distribution deal; now also tracking the Botswana</t>
        </is>
      </c>
    </row>
    <row r="7">
      <c r="A7" t="inlineStr">
        <is>
          <t>expansion of the same business.</t>
        </is>
      </c>
    </row>
    <row r="8">
      <c r="A8" t="inlineStr"/>
    </row>
    <row r="9">
      <c r="A9" t="inlineStr">
        <is>
          <t>Tabs:</t>
        </is>
      </c>
    </row>
    <row r="10">
      <c r="A10" t="inlineStr">
        <is>
          <t xml:space="preserve">  Groups          — one row per tracked WhatsApp group</t>
        </is>
      </c>
    </row>
    <row r="11">
      <c r="A11" t="inlineStr">
        <is>
          <t xml:space="preserve">  Tasks           — one row per action item, linked to a group by name</t>
        </is>
      </c>
    </row>
    <row r="12">
      <c r="A12" t="inlineStr">
        <is>
          <t xml:space="preserve">  Status Updates  — dated narrative updates per group</t>
        </is>
      </c>
    </row>
    <row r="13">
      <c r="A13" t="inlineStr">
        <is>
          <t xml:space="preserve">  Contacts        — people involved, by group</t>
        </is>
      </c>
    </row>
    <row r="14">
      <c r="A14" t="inlineStr">
        <is>
          <t xml:space="preserve">  Reviewer Notes  — annotations/flags added on review</t>
        </is>
      </c>
    </row>
    <row r="15">
      <c r="A15" t="inlineStr">
        <is>
          <t xml:space="preserve">  Dashboard       — auto-computed totals (formulas only, no manual entry)</t>
        </is>
      </c>
    </row>
    <row r="16">
      <c r="A16" t="inlineStr"/>
    </row>
    <row r="17">
      <c r="A17" t="inlineStr">
        <is>
          <t>Row 5 on each data tab is a kept example row (outside the counted ranges —</t>
        </is>
      </c>
    </row>
    <row r="18">
      <c r="A18" t="inlineStr">
        <is>
          <t>delete only if you're sure). Real data starts at row 6.</t>
        </is>
      </c>
    </row>
    <row r="19">
      <c r="A19" t="inlineStr">
        <is>
          <t xml:space="preserve">  Groups:  rows 6–25 (20 groups)</t>
        </is>
      </c>
    </row>
    <row r="20">
      <c r="A20" t="inlineStr">
        <is>
          <t xml:space="preserve">  Tasks:   rows 6–59 (54 tasks)</t>
        </is>
      </c>
    </row>
    <row r="21">
      <c r="A21" t="inlineStr"/>
    </row>
    <row r="22">
      <c r="A22" t="inlineStr">
        <is>
          <t>Companion files: index.html (interactive dashboard),</t>
        </is>
      </c>
    </row>
    <row r="23">
      <c r="A23" t="inlineStr">
        <is>
          <t>Serenity_Drug_Kits_Tracker_Summary.md (narrative summary). Keep all</t>
        </is>
      </c>
    </row>
    <row r="24">
      <c r="A24" t="inlineStr">
        <is>
          <t>three in sync when data changes.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F7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60" customWidth="1" min="3" max="3"/>
    <col width="12" customWidth="1" min="4" max="4"/>
    <col width="10" customWidth="1" min="5" max="5"/>
    <col width="40" customWidth="1" min="6" max="6"/>
  </cols>
  <sheetData>
    <row r="4">
      <c r="A4" s="2" t="inlineStr">
        <is>
          <t>Group Name</t>
        </is>
      </c>
      <c r="B4" s="2" t="inlineStr">
        <is>
          <t>Aliases</t>
        </is>
      </c>
      <c r="C4" s="2" t="inlineStr">
        <is>
          <t>Purpose</t>
        </is>
      </c>
      <c r="D4" s="2" t="inlineStr">
        <is>
          <t>Priority</t>
        </is>
      </c>
      <c r="E4" s="2" t="inlineStr">
        <is>
          <t>Caution?</t>
        </is>
      </c>
      <c r="F4" s="2" t="inlineStr">
        <is>
          <t>WhatsApp Link</t>
        </is>
      </c>
    </row>
    <row r="5">
      <c r="A5" s="3" t="inlineStr">
        <is>
          <t>Example Group 🌍</t>
        </is>
      </c>
      <c r="B5" s="3" t="inlineStr">
        <is>
          <t>Example</t>
        </is>
      </c>
      <c r="C5" s="3" t="inlineStr">
        <is>
          <t>One dense sentence on what's being negotiated.</t>
        </is>
      </c>
      <c r="D5" s="3" t="inlineStr">
        <is>
          <t>medium</t>
        </is>
      </c>
      <c r="E5" s="3" t="inlineStr">
        <is>
          <t>No</t>
        </is>
      </c>
      <c r="F5" s="3" t="inlineStr">
        <is>
          <t>https://chat.whatsapp.com/EXAMPLE</t>
        </is>
      </c>
    </row>
    <row r="6">
      <c r="A6" s="4" t="inlineStr">
        <is>
          <t>🇿🇦Serenity🇿🇦</t>
        </is>
      </c>
      <c r="B6" s="4" t="inlineStr">
        <is>
          <t>Serenity</t>
        </is>
      </c>
      <c r="C6" s="4" t="inlineStr">
        <is>
          <t>Distribution deal for VivaChek drug/screening test kits into South Africa — sourcing via Frank, local commercialization via Nicole (trading as MedSerenity). Critical path is SAHPRA licensing: the full Medical Devices establishment licence requirements arrived 9/25 (5 annexures, R15,600 fee, 6-8 week evaluation); the team is now scheduling a call to assemble and submit the application.</t>
        </is>
      </c>
      <c r="D6" s="4" t="inlineStr">
        <is>
          <t>high</t>
        </is>
      </c>
      <c r="E6" s="4" t="inlineStr">
        <is>
          <t>No</t>
        </is>
      </c>
      <c r="F6" s="4" t="inlineStr">
        <is>
          <t>https://chat.whatsapp.com/LJWJ0UhQQxU6jmBt1q7PXX?mode=gi_t</t>
        </is>
      </c>
    </row>
    <row r="7">
      <c r="A7" s="4" t="inlineStr">
        <is>
          <t>🇧🇼2026 Botswana Team🇧🇼</t>
        </is>
      </c>
      <c r="B7" s="4" t="inlineStr">
        <is>
          <t>Botswana Team, 2026 Botswana Team</t>
        </is>
      </c>
      <c r="C7" s="4" t="inlineStr">
        <is>
          <t>Expanding the same VivaChek drug/screening test kit business (as run in Serenity, South Africa) into Botswana — group stood up 10/13, marketing and pricing materials shared, and a Botswana-specific proposal was reviewed on a call 10/16.</t>
        </is>
      </c>
      <c r="D7" s="4" t="inlineStr">
        <is>
          <t>medium</t>
        </is>
      </c>
      <c r="E7" s="4" t="inlineStr">
        <is>
          <t>No</t>
        </is>
      </c>
      <c r="F7" s="4" t="inlineStr">
        <is>
          <t>https://chat.whatsapp.com/FCASsTy3MrLCW3foimJGr7?mode=gi_t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E22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30" customWidth="1" min="3" max="3"/>
    <col width="14" customWidth="1" min="4" max="4"/>
    <col width="55" customWidth="1" min="5" max="5"/>
  </cols>
  <sheetData>
    <row r="4">
      <c r="A4" s="2" t="inlineStr">
        <is>
          <t>Group Name</t>
        </is>
      </c>
      <c r="B4" s="2" t="inlineStr">
        <is>
          <t>Task</t>
        </is>
      </c>
      <c r="C4" s="2" t="inlineStr">
        <is>
          <t>Owner</t>
        </is>
      </c>
      <c r="D4" s="2" t="inlineStr">
        <is>
          <t>Status</t>
        </is>
      </c>
      <c r="E4" s="2" t="inlineStr">
        <is>
          <t>Notes</t>
        </is>
      </c>
    </row>
    <row r="5">
      <c r="A5" s="3" t="inlineStr">
        <is>
          <t>Example Group 🌍</t>
        </is>
      </c>
      <c r="B5" s="3" t="inlineStr">
        <is>
          <t>Example task description</t>
        </is>
      </c>
      <c r="C5" s="3" t="inlineStr">
        <is>
          <t>Example Owner</t>
        </is>
      </c>
      <c r="D5" s="3" t="inlineStr">
        <is>
          <t>In Progress</t>
        </is>
      </c>
      <c r="E5" s="3" t="inlineStr">
        <is>
          <t>Example note with date.</t>
        </is>
      </c>
    </row>
    <row r="6">
      <c r="A6" s="4" t="inlineStr">
        <is>
          <t>🇿🇦Serenity🇿🇦</t>
        </is>
      </c>
      <c r="B6" s="4" t="inlineStr">
        <is>
          <t>Research SADC certificate-of-origin route</t>
        </is>
      </c>
      <c r="C6" s="4" t="inlineStr">
        <is>
          <t>Dr. Kudzai Nyamuomba</t>
        </is>
      </c>
      <c r="D6" s="4" t="inlineStr">
        <is>
          <t>Done</t>
        </is>
      </c>
      <c r="E6" s="4" t="inlineStr">
        <is>
          <t>Raised 8/22; superseded once SAHPRA licensing confirmed required (8/27)</t>
        </is>
      </c>
    </row>
    <row r="7">
      <c r="A7" s="4" t="inlineStr">
        <is>
          <t>🇿🇦Serenity🇿🇦</t>
        </is>
      </c>
      <c r="B7" s="4" t="inlineStr">
        <is>
          <t>Confirm which regulatory path is required to distribute in SA</t>
        </is>
      </c>
      <c r="C7" s="4" t="inlineStr">
        <is>
          <t>Nicole Chitareni</t>
        </is>
      </c>
      <c r="D7" s="4" t="inlineStr">
        <is>
          <t>Done</t>
        </is>
      </c>
      <c r="E7" s="4" t="inlineStr">
        <is>
          <t>Ministry contact confirmed 8/27: SAHPRA certificate/license still required</t>
        </is>
      </c>
    </row>
    <row r="8">
      <c r="A8" s="4" t="inlineStr">
        <is>
          <t>🇿🇦Serenity🇿🇦</t>
        </is>
      </c>
      <c r="B8" s="4" t="inlineStr">
        <is>
          <t>Arrange courier of 5 test kits to Nicole</t>
        </is>
      </c>
      <c r="C8" s="4" t="inlineStr">
        <is>
          <t>Dr. Kudzai Nyamuomba / Frank</t>
        </is>
      </c>
      <c r="D8" s="4" t="inlineStr">
        <is>
          <t>In Progress</t>
        </is>
      </c>
      <c r="E8" s="4" t="inlineStr">
        <is>
          <t>Set for 8/26 via The Courier Guy; postponed after Nicole's flu hospitalization (8/25); still no confirmed delivery as of 10/13</t>
        </is>
      </c>
    </row>
    <row r="9">
      <c r="A9" s="4" t="inlineStr">
        <is>
          <t>🇿🇦Serenity🇿🇦</t>
        </is>
      </c>
      <c r="B9" s="4" t="inlineStr">
        <is>
          <t>Decide which company entity to register/trade under</t>
        </is>
      </c>
      <c r="C9" s="4" t="inlineStr">
        <is>
          <t>Nicole Chitareni / Dr. Kudzai Nyamuomba</t>
        </is>
      </c>
      <c r="D9" s="4" t="inlineStr">
        <is>
          <t>Done</t>
        </is>
      </c>
      <c r="E9" s="4" t="inlineStr">
        <is>
          <t>8/27: use Nicole's existing CSD-registered company (trading as MedSerenity)</t>
        </is>
      </c>
    </row>
    <row r="10">
      <c r="A10" s="4" t="inlineStr">
        <is>
          <t>🇿🇦Serenity🇿🇦</t>
        </is>
      </c>
      <c r="B10" s="4" t="inlineStr">
        <is>
          <t>Get SAHPRA compliance quotes</t>
        </is>
      </c>
      <c r="C10" s="4" t="inlineStr">
        <is>
          <t>Nicole Chitareni</t>
        </is>
      </c>
      <c r="D10" s="4" t="inlineStr">
        <is>
          <t>Done</t>
        </is>
      </c>
      <c r="E10" s="4" t="inlineStr">
        <is>
          <t>Two companies quoted 8/27; Pharmers: R55,000 total, R15,600 application-only, ~15 working days</t>
        </is>
      </c>
    </row>
    <row r="11">
      <c r="A11" s="4" t="inlineStr">
        <is>
          <t>🇿🇦Serenity🇿🇦</t>
        </is>
      </c>
      <c r="B11" s="4" t="inlineStr">
        <is>
          <t>Follow up with Pharmers after slow response</t>
        </is>
      </c>
      <c r="C11" s="4" t="inlineStr">
        <is>
          <t>Nicole Chitareni</t>
        </is>
      </c>
      <c r="D11" s="4" t="inlineStr">
        <is>
          <t>Done</t>
        </is>
      </c>
      <c r="E11" s="4" t="inlineStr">
        <is>
          <t>Follow-up sent 8/31; vendor responded, meeting held 9/8 14:00 CAT</t>
        </is>
      </c>
    </row>
    <row r="12">
      <c r="A12" s="4" t="inlineStr">
        <is>
          <t>🇿🇦Serenity🇿🇦</t>
        </is>
      </c>
      <c r="B12" s="4" t="inlineStr">
        <is>
          <t>Scope engagement down to application only</t>
        </is>
      </c>
      <c r="C12" s="4" t="inlineStr">
        <is>
          <t>Dr. Kudzai Nyamuomba</t>
        </is>
      </c>
      <c r="D12" s="4" t="inlineStr">
        <is>
          <t>Done</t>
        </is>
      </c>
      <c r="E12" s="4" t="inlineStr">
        <is>
          <t>9/8: skip consultation and collection-fee add-ons</t>
        </is>
      </c>
    </row>
    <row r="13">
      <c r="A13" s="4" t="inlineStr">
        <is>
          <t>🇿🇦Serenity🇿🇦</t>
        </is>
      </c>
      <c r="B13" s="4" t="inlineStr">
        <is>
          <t>Visit SAHPRA Radiation Control office in person</t>
        </is>
      </c>
      <c r="C13" s="4" t="inlineStr">
        <is>
          <t>~ Norman Nyamuwomba</t>
        </is>
      </c>
      <c r="D13" s="4" t="inlineStr">
        <is>
          <t>Done</t>
        </is>
      </c>
      <c r="E13" s="4" t="inlineStr">
        <is>
          <t>Visited Tygervalley office 9/18; told that office doesn't handle test-kit licensing, redirected to SAHPRA Operations Control online</t>
        </is>
      </c>
    </row>
    <row r="14">
      <c r="A14" s="4" t="inlineStr">
        <is>
          <t>🇿🇦Serenity🇿🇦</t>
        </is>
      </c>
      <c r="B14" s="4" t="inlineStr">
        <is>
          <t>Get Nicole's company details and contact info on file</t>
        </is>
      </c>
      <c r="C14" s="4" t="inlineStr">
        <is>
          <t>Dr. Kudzai Nyamuomba</t>
        </is>
      </c>
      <c r="D14" s="4" t="inlineStr">
        <is>
          <t>Done</t>
        </is>
      </c>
      <c r="E14" s="4" t="inlineStr">
        <is>
          <t>Confirmation letter, AR, tax PIN, and email (poshedluxuryscents@gmail.com) collected 9/17-9/18</t>
        </is>
      </c>
    </row>
    <row r="15">
      <c r="A15" s="4" t="inlineStr">
        <is>
          <t>🇿🇦Serenity🇿🇦</t>
        </is>
      </c>
      <c r="B15" s="4" t="inlineStr">
        <is>
          <t>Get SAHPRA to confirm the actual licence requirements</t>
        </is>
      </c>
      <c r="C15" s="4" t="inlineStr">
        <is>
          <t>~ Norman Nyamuwomba</t>
        </is>
      </c>
      <c r="D15" s="4" t="inlineStr">
        <is>
          <t>Done</t>
        </is>
      </c>
      <c r="E15" s="4" t="inlineStr">
        <is>
          <t>SAHPRA's official reply (forwarded 9/25) lists 5 annexures, R15,600 fee, submit to mdadmin@sahpra.org.za, 6-8 week evaluation</t>
        </is>
      </c>
    </row>
    <row r="16">
      <c r="A16" s="4" t="inlineStr">
        <is>
          <t>🇿🇦Serenity🇿🇦</t>
        </is>
      </c>
      <c r="B16" s="4" t="inlineStr">
        <is>
          <t>Schedule a call to walk through the SAHPRA submission steps</t>
        </is>
      </c>
      <c r="C16" s="4" t="inlineStr">
        <is>
          <t>Dr. Kudzai Nyamuomba / Nicole / Norman</t>
        </is>
      </c>
      <c r="D16" s="4" t="inlineStr">
        <is>
          <t>In Progress</t>
        </is>
      </c>
      <c r="E16" s="4" t="inlineStr">
        <is>
          <t>Requested 9/25; missed 10/3, Nicole traveling 10/5-10/6; as of 10/13 agreed to an after-hours call, not yet confirmed held</t>
        </is>
      </c>
    </row>
    <row r="17">
      <c r="A17" s="4" t="inlineStr">
        <is>
          <t>🇿🇦Serenity🇿🇦</t>
        </is>
      </c>
      <c r="B17" s="4" t="inlineStr">
        <is>
          <t>Compile and submit the 5-annexure SAHPRA application</t>
        </is>
      </c>
      <c r="C17" s="4" t="inlineStr">
        <is>
          <t>Nicole Chitareni / Dr. Kudzai Nyamuomba</t>
        </is>
      </c>
      <c r="D17" s="4" t="inlineStr">
        <is>
          <t>Not Started</t>
        </is>
      </c>
      <c r="E17" s="4" t="inlineStr">
        <is>
          <t>Blocked on the scheduling call above; no submission yet as of 10/13</t>
        </is>
      </c>
    </row>
    <row r="18">
      <c r="A18" s="4" t="inlineStr">
        <is>
          <t>🇧🇼2026 Botswana Team🇧🇼</t>
        </is>
      </c>
      <c r="B18" s="4" t="inlineStr">
        <is>
          <t>Introduce team and share initial marketing/pricing materials</t>
        </is>
      </c>
      <c r="C18" s="4" t="inlineStr">
        <is>
          <t>Eddie Ed</t>
        </is>
      </c>
      <c r="D18" s="4" t="inlineStr">
        <is>
          <t>Done</t>
        </is>
      </c>
      <c r="E18" s="4" t="inlineStr">
        <is>
          <t>Product photo, price list, and Serenity marketing brochure shared 10/13</t>
        </is>
      </c>
    </row>
    <row r="19">
      <c r="A19" s="4" t="inlineStr">
        <is>
          <t>🇧🇼2026 Botswana Team🇧🇼</t>
        </is>
      </c>
      <c r="B19" s="4" t="inlineStr">
        <is>
          <t>Hold kickoff/status call(s)</t>
        </is>
      </c>
      <c r="C19" s="4" t="inlineStr">
        <is>
          <t>Dr. Kudzai Nyamuomba / team</t>
        </is>
      </c>
      <c r="D19" s="4" t="inlineStr">
        <is>
          <t>In Progress</t>
        </is>
      </c>
      <c r="E19" s="4" t="inlineStr">
        <is>
          <t>Held 10/14; a second attempt 10/15 was a 56-sec missed call (Bissau joined); another call held 10/16</t>
        </is>
      </c>
    </row>
    <row r="20">
      <c r="A20" s="4" t="inlineStr">
        <is>
          <t>🇧🇼2026 Botswana Team🇧🇼</t>
        </is>
      </c>
      <c r="B20" s="4" t="inlineStr">
        <is>
          <t>Share expanded product catalogue (28-panel cup list)</t>
        </is>
      </c>
      <c r="C20" s="4" t="inlineStr">
        <is>
          <t>Dr. Kudzai Nyamuomba</t>
        </is>
      </c>
      <c r="D20" s="4" t="inlineStr">
        <is>
          <t>Done</t>
        </is>
      </c>
      <c r="E20" s="4" t="inlineStr">
        <is>
          <t>28 Panel Cup List.docx (10pp) shared 10/15</t>
        </is>
      </c>
    </row>
    <row r="21">
      <c r="A21" s="4" t="inlineStr">
        <is>
          <t>🇧🇼2026 Botswana Team🇧🇼</t>
        </is>
      </c>
      <c r="B21" s="4" t="inlineStr">
        <is>
          <t>Draft Botswana-specific proposal and per-panel pricing</t>
        </is>
      </c>
      <c r="C21" s="4" t="inlineStr">
        <is>
          <t>Dr. Kudzai Nyamuomba</t>
        </is>
      </c>
      <c r="D21" s="4" t="inlineStr">
        <is>
          <t>Done</t>
        </is>
      </c>
      <c r="E21" s="4" t="inlineStr">
        <is>
          <t>Botswana_Drug_Test_Kits docx, Pricing_Per Panel docx, and proposal PDF shared 10/15</t>
        </is>
      </c>
    </row>
    <row r="22">
      <c r="A22" s="4" t="inlineStr">
        <is>
          <t>🇧🇼2026 Botswana Team🇧🇼</t>
        </is>
      </c>
      <c r="B22" s="4" t="inlineStr">
        <is>
          <t>Review proposal and pricing, align on next steps</t>
        </is>
      </c>
      <c r="C22" s="4" t="inlineStr">
        <is>
          <t>Dr. Kudzai Nyamuomba / Eddie Ed / Bissau</t>
        </is>
      </c>
      <c r="D22" s="4" t="inlineStr">
        <is>
          <t>In Progress</t>
        </is>
      </c>
      <c r="E22" s="4" t="inlineStr">
        <is>
          <t>Discussed on the 10/16 call; outcome not yet captured in the chat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C1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85" customWidth="1" min="3" max="3"/>
  </cols>
  <sheetData>
    <row r="4">
      <c r="A4" s="2" t="inlineStr">
        <is>
          <t>Group Name</t>
        </is>
      </c>
      <c r="B4" s="2" t="inlineStr">
        <is>
          <t>Date</t>
        </is>
      </c>
      <c r="C4" s="2" t="inlineStr">
        <is>
          <t>Update</t>
        </is>
      </c>
    </row>
    <row r="5">
      <c r="A5" s="3" t="inlineStr">
        <is>
          <t>Example Group 🌍</t>
        </is>
      </c>
      <c r="B5" s="3" t="inlineStr">
        <is>
          <t>1/1/26</t>
        </is>
      </c>
      <c r="C5" s="3" t="inlineStr">
        <is>
          <t>Example status update text.</t>
        </is>
      </c>
    </row>
    <row r="6">
      <c r="A6" s="4" t="inlineStr">
        <is>
          <t>🇿🇦Serenity🇿🇦</t>
        </is>
      </c>
      <c r="B6" s="4" t="inlineStr">
        <is>
          <t>9/18/26</t>
        </is>
      </c>
      <c r="C6" s="4" t="inlineStr">
        <is>
          <t>Norman's in-person visit to SAHPRA's Cape Town office found it handles Radiation Control only, not test-kit licensing; redirected online to SAHPRA's Operations Control section (head office Pretoria, office in Durban).</t>
        </is>
      </c>
    </row>
    <row r="7">
      <c r="A7" s="4" t="inlineStr">
        <is>
          <t>🇿🇦Serenity🇿🇦</t>
        </is>
      </c>
      <c r="B7" s="4" t="inlineStr">
        <is>
          <t>9/25/26</t>
        </is>
      </c>
      <c r="C7" s="4" t="inlineStr">
        <is>
          <t>SAHPRA confirmed the official Medical Devices establishment licence requirements by email: 5 annexures (cover letter, licence application, Excel form, proof of R15,600 payment, CV, Quality Manual), submitted to mdadmin@sahpra.org.za, 6-8 week evaluation.</t>
        </is>
      </c>
    </row>
    <row r="8">
      <c r="A8" s="4" t="inlineStr">
        <is>
          <t>🇿🇦Serenity🇿🇦</t>
        </is>
      </c>
      <c r="B8" s="4" t="inlineStr">
        <is>
          <t>10/13/26</t>
        </is>
      </c>
      <c r="C8" s="4" t="inlineStr">
        <is>
          <t>After a missed call (10/3) and Nicole's travel (10/5-10/6), the team agreed to hold the submission-planning call after work hours to accommodate Norman's schedule; application not yet compiled or submitted.</t>
        </is>
      </c>
    </row>
    <row r="9">
      <c r="A9" s="4" t="inlineStr">
        <is>
          <t>🇧🇼2026 Botswana Team🇧🇼</t>
        </is>
      </c>
      <c r="B9" s="4" t="inlineStr">
        <is>
          <t>10/13/26</t>
        </is>
      </c>
      <c r="C9" s="4" t="inlineStr">
        <is>
          <t>New group stood up for the Botswana expansion of the same drug test kit business; initial marketing and pricing materials shared ahead of the first call.</t>
        </is>
      </c>
    </row>
    <row r="10">
      <c r="A10" s="4" t="inlineStr">
        <is>
          <t>🇧🇼2026 Botswana Team🇧🇼</t>
        </is>
      </c>
      <c r="B10" s="4" t="inlineStr">
        <is>
          <t>10/16/26</t>
        </is>
      </c>
      <c r="C10" s="4" t="inlineStr">
        <is>
          <t>Botswana-specific proposal and per-panel pricing (shared 10/15) discussed on a call; next steps not yet captured in the chat.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4:D12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8" customWidth="1" min="3" max="3"/>
    <col width="50" customWidth="1" min="4" max="4"/>
  </cols>
  <sheetData>
    <row r="4">
      <c r="A4" s="2" t="inlineStr">
        <is>
          <t>Group Name</t>
        </is>
      </c>
      <c r="B4" s="2" t="inlineStr">
        <is>
          <t>Name</t>
        </is>
      </c>
      <c r="C4" s="2" t="inlineStr">
        <is>
          <t>Role</t>
        </is>
      </c>
      <c r="D4" s="2" t="inlineStr">
        <is>
          <t>Notes</t>
        </is>
      </c>
    </row>
    <row r="5">
      <c r="A5" s="3" t="inlineStr">
        <is>
          <t>Example Group 🌍</t>
        </is>
      </c>
      <c r="B5" s="3" t="inlineStr">
        <is>
          <t>Example Name</t>
        </is>
      </c>
      <c r="C5" s="3" t="inlineStr">
        <is>
          <t>Example Role</t>
        </is>
      </c>
      <c r="D5" s="3" t="inlineStr">
        <is>
          <t>Example note.</t>
        </is>
      </c>
    </row>
    <row r="6">
      <c r="A6" s="4" t="inlineStr">
        <is>
          <t>🇿🇦Serenity🇿🇦</t>
        </is>
      </c>
      <c r="B6" s="4" t="inlineStr">
        <is>
          <t>Dr. Kudzai Nyamuomba</t>
        </is>
      </c>
      <c r="C6" s="4" t="inlineStr">
        <is>
          <t>Group organizer / kit sourcing</t>
        </is>
      </c>
      <c r="D6" s="4" t="inlineStr">
        <is>
          <t>Coordinates with supplier Frank</t>
        </is>
      </c>
    </row>
    <row r="7">
      <c r="A7" s="4" t="inlineStr">
        <is>
          <t>🇿🇦Serenity🇿🇦</t>
        </is>
      </c>
      <c r="B7" s="4" t="inlineStr">
        <is>
          <t>Nicole Chitareni</t>
        </is>
      </c>
      <c r="C7" s="4" t="inlineStr">
        <is>
          <t>SA local point of contact</t>
        </is>
      </c>
      <c r="D7" s="4" t="inlineStr">
        <is>
          <t>Trades as MedSerenity; email poshedluxuryscents@gmail.com</t>
        </is>
      </c>
    </row>
    <row r="8">
      <c r="A8" s="4" t="inlineStr">
        <is>
          <t>🇿🇦Serenity🇿🇦</t>
        </is>
      </c>
      <c r="B8" s="4" t="inlineStr">
        <is>
          <t>~ Norman Nyamuwomba</t>
        </is>
      </c>
      <c r="C8" s="4" t="inlineStr">
        <is>
          <t>SAHPRA liaison</t>
        </is>
      </c>
      <c r="D8" s="4" t="inlineStr">
        <is>
          <t>Visited SAHPRA in person 9/18; got official licence requirements 9/25</t>
        </is>
      </c>
    </row>
    <row r="9">
      <c r="A9" s="4" t="inlineStr">
        <is>
          <t>🇿🇦Serenity🇿🇦</t>
        </is>
      </c>
      <c r="B9" s="4" t="inlineStr">
        <is>
          <t>Eddie Ed</t>
        </is>
      </c>
      <c r="C9" s="4" t="inlineStr">
        <is>
          <t>Group creator</t>
        </is>
      </c>
      <c r="D9" s="4" t="inlineStr"/>
    </row>
    <row r="10">
      <c r="A10" s="4" t="inlineStr">
        <is>
          <t>🇧🇼2026 Botswana Team🇧🇼</t>
        </is>
      </c>
      <c r="B10" s="4" t="inlineStr">
        <is>
          <t>Dr. Kudzai Nyamuomba</t>
        </is>
      </c>
      <c r="C10" s="4" t="inlineStr">
        <is>
          <t>Group organizer / kit sourcing</t>
        </is>
      </c>
      <c r="D10" s="4" t="inlineStr">
        <is>
          <t>Drafted Botswana proposal and pricing</t>
        </is>
      </c>
    </row>
    <row r="11">
      <c r="A11" s="4" t="inlineStr">
        <is>
          <t>🇧🇼2026 Botswana Team🇧🇼</t>
        </is>
      </c>
      <c r="B11" s="4" t="inlineStr">
        <is>
          <t>Eddie Ed</t>
        </is>
      </c>
      <c r="C11" s="4" t="inlineStr">
        <is>
          <t>Group creator / materials</t>
        </is>
      </c>
      <c r="D11" s="4" t="inlineStr">
        <is>
          <t>Shared initial marketing and pricing materials</t>
        </is>
      </c>
    </row>
    <row r="12">
      <c r="A12" s="4" t="inlineStr">
        <is>
          <t>🇧🇼2026 Botswana Team🇧🇼</t>
        </is>
      </c>
      <c r="B12" s="4" t="inlineStr">
        <is>
          <t>Bissau</t>
        </is>
      </c>
      <c r="C12" s="4" t="inlineStr">
        <is>
          <t>Team member</t>
        </is>
      </c>
      <c r="D12" s="4" t="inlineStr">
        <is>
          <t>Added 10/13; joined calls 10/15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4:D5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60" customWidth="1" min="4" max="4"/>
  </cols>
  <sheetData>
    <row r="4">
      <c r="A4" s="2" t="inlineStr">
        <is>
          <t>Group Name</t>
        </is>
      </c>
      <c r="B4" s="2" t="inlineStr">
        <is>
          <t>Reviewer</t>
        </is>
      </c>
      <c r="C4" s="2" t="inlineStr">
        <is>
          <t>Date</t>
        </is>
      </c>
      <c r="D4" s="2" t="inlineStr">
        <is>
          <t>Note</t>
        </is>
      </c>
    </row>
    <row r="5">
      <c r="A5" s="3" t="inlineStr">
        <is>
          <t>Example Group 🌍</t>
        </is>
      </c>
      <c r="B5" s="3" t="inlineStr">
        <is>
          <t>Example Reviewer</t>
        </is>
      </c>
      <c r="C5" s="3" t="inlineStr">
        <is>
          <t>1/1/26</t>
        </is>
      </c>
      <c r="D5" s="3" t="inlineStr">
        <is>
          <t>Example reviewer note.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Serenity Drug Kits Tracker — Summary</t>
        </is>
      </c>
    </row>
    <row r="29">
      <c r="A29" s="2" t="inlineStr">
        <is>
          <t>Metric</t>
        </is>
      </c>
      <c r="B29" s="2" t="inlineStr">
        <is>
          <t>Value</t>
        </is>
      </c>
    </row>
    <row r="30">
      <c r="A30" s="5" t="inlineStr">
        <is>
          <t>Total groups</t>
        </is>
      </c>
      <c r="B30" s="5">
        <f>COUNTA(Groups!A6:A25)</f>
        <v/>
      </c>
    </row>
    <row r="31">
      <c r="A31" s="5" t="inlineStr">
        <is>
          <t>Total tasks</t>
        </is>
      </c>
      <c r="B31" s="5">
        <f>COUNTA(Tasks!A6:A59)</f>
        <v/>
      </c>
    </row>
    <row r="32">
      <c r="A32" s="5" t="inlineStr">
        <is>
          <t>Tasks done</t>
        </is>
      </c>
      <c r="B32" s="5">
        <f>COUNTIF(Tasks!D6:D59,"Done")</f>
        <v/>
      </c>
    </row>
    <row r="33">
      <c r="A33" s="5" t="inlineStr">
        <is>
          <t>Tasks in progress</t>
        </is>
      </c>
      <c r="B33" s="5">
        <f>COUNTIF(Tasks!D6:D59,"In Progress")</f>
        <v/>
      </c>
    </row>
    <row r="34">
      <c r="A34" s="5" t="inlineStr">
        <is>
          <t>Tasks not started</t>
        </is>
      </c>
      <c r="B34" s="5">
        <f>COUNTIF(Tasks!D6:D59,"Not Started")</f>
        <v/>
      </c>
    </row>
    <row r="35">
      <c r="A35" s="5" t="inlineStr">
        <is>
          <t>High priority groups</t>
        </is>
      </c>
      <c r="B35" s="5">
        <f>COUNTIF(Groups!D6:D25,"high")</f>
        <v/>
      </c>
    </row>
    <row r="36">
      <c r="A36" s="5" t="inlineStr">
        <is>
          <t>Medium priority groups</t>
        </is>
      </c>
      <c r="B36" s="5">
        <f>COUNTIF(Groups!D6:D25,"medium")</f>
        <v/>
      </c>
    </row>
    <row r="37">
      <c r="A37" s="5" t="inlineStr">
        <is>
          <t>Low priority groups</t>
        </is>
      </c>
      <c r="B37" s="5">
        <f>COUNTIF(Groups!D6:D25,"low")</f>
        <v/>
      </c>
    </row>
    <row r="38">
      <c r="A38" s="5" t="inlineStr">
        <is>
          <t>Groups flagged caution</t>
        </is>
      </c>
      <c r="B38" s="5">
        <f>COUNTIF(Groups!E6:E25,"Yes")</f>
        <v/>
      </c>
    </row>
    <row r="39">
      <c r="A39" s="5" t="inlineStr">
        <is>
          <t>% tasks done</t>
        </is>
      </c>
      <c r="B39" s="6">
        <f>IFERROR(B32/B31,0)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2026-10-16T22:16:25Z</dcterms:created>
  <dcterms:modified xmlns:dcterms="http://purl.org/dc/terms/" xmlns:xsi="http://www.w3.org/2001/XMLSchema-instance" xsi:type="dcterms:W3CDTF">2026-10-16T22:16:25Z</dcterms:modified>
</cp:coreProperties>
</file>